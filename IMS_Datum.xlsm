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tum\"/>
    </mc:Choice>
  </mc:AlternateContent>
  <xr:revisionPtr revIDLastSave="0" documentId="13_ncr:1_{EC2CBC49-D225-41C9-8945-F65D9418E115}" xr6:coauthVersionLast="47" xr6:coauthVersionMax="47" xr10:uidLastSave="{00000000-0000-0000-0000-000000000000}"/>
  <bookViews>
    <workbookView xWindow="-108" yWindow="-108" windowWidth="23256" windowHeight="12456" activeTab="5" xr2:uid="{BDCB57C5-275C-44B2-A256-7BDE4CA4CAC5}"/>
  </bookViews>
  <sheets>
    <sheet name="user" sheetId="4" r:id="rId1"/>
    <sheet name="product" sheetId="3" r:id="rId2"/>
    <sheet name="stock" sheetId="6" r:id="rId3"/>
    <sheet name="stock_history" sheetId="7" r:id="rId4"/>
    <sheet name="category" sheetId="5" r:id="rId5"/>
    <sheet name="subcategory" sheetId="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3" l="1"/>
  <c r="AB2" i="3"/>
  <c r="E4" i="6" l="1"/>
  <c r="D4" i="6"/>
  <c r="C4" i="6"/>
  <c r="F4" i="6" s="1"/>
  <c r="E4" i="3"/>
  <c r="D4" i="3"/>
  <c r="F3" i="6"/>
  <c r="E3" i="6"/>
  <c r="G3" i="6" s="1"/>
  <c r="E3" i="3"/>
  <c r="D3" i="3"/>
  <c r="E2" i="6"/>
  <c r="D2" i="6"/>
  <c r="C2" i="6"/>
  <c r="F2" i="6" s="1"/>
  <c r="E2" i="3"/>
  <c r="D2" i="3"/>
  <c r="C4" i="2"/>
  <c r="C3" i="2"/>
  <c r="C2" i="2"/>
  <c r="G4" i="6" l="1"/>
  <c r="G2" i="6"/>
  <c r="J2" i="2"/>
  <c r="I2" i="5"/>
</calcChain>
</file>

<file path=xl/sharedStrings.xml><?xml version="1.0" encoding="utf-8"?>
<sst xmlns="http://schemas.openxmlformats.org/spreadsheetml/2006/main" count="74" uniqueCount="48">
  <si>
    <t>ID</t>
  </si>
  <si>
    <t>Name</t>
  </si>
  <si>
    <t>Created_at</t>
  </si>
  <si>
    <t>Updated_at</t>
  </si>
  <si>
    <t>Created at</t>
  </si>
  <si>
    <t>Updated at</t>
  </si>
  <si>
    <t>Username</t>
  </si>
  <si>
    <t>Password</t>
  </si>
  <si>
    <t>Full Name</t>
  </si>
  <si>
    <t>is_active</t>
  </si>
  <si>
    <t>Category ID</t>
  </si>
  <si>
    <t>Category Name</t>
  </si>
  <si>
    <t>Debanjan</t>
  </si>
  <si>
    <t>SubCategory Name</t>
  </si>
  <si>
    <t>category</t>
  </si>
  <si>
    <t>Subcategory ID</t>
  </si>
  <si>
    <t>Subcategory Name</t>
  </si>
  <si>
    <t>is_Active</t>
  </si>
  <si>
    <t>last</t>
  </si>
  <si>
    <t>Barcode Number</t>
  </si>
  <si>
    <t>Product ID</t>
  </si>
  <si>
    <t>Stocks Out</t>
  </si>
  <si>
    <t xml:space="preserve">Stocks In </t>
  </si>
  <si>
    <t>Final Stock</t>
  </si>
  <si>
    <t>Created At</t>
  </si>
  <si>
    <t>Updated At</t>
  </si>
  <si>
    <t xml:space="preserve">Stocks State </t>
  </si>
  <si>
    <t>Qty</t>
  </si>
  <si>
    <t>Rate</t>
  </si>
  <si>
    <t>Total Amount</t>
  </si>
  <si>
    <t xml:space="preserve">Created At </t>
  </si>
  <si>
    <t>Price</t>
  </si>
  <si>
    <t>dwfwfe</t>
  </si>
  <si>
    <t>someone</t>
  </si>
  <si>
    <t>Exp Date</t>
  </si>
  <si>
    <t>sjfs</t>
  </si>
  <si>
    <t>qdef</t>
  </si>
  <si>
    <t>efr</t>
  </si>
  <si>
    <t>rertret</t>
  </si>
  <si>
    <t>fdgdfg</t>
  </si>
  <si>
    <t>fgfdg</t>
  </si>
  <si>
    <t>IN</t>
  </si>
  <si>
    <t>OUT</t>
  </si>
  <si>
    <t>sads</t>
  </si>
  <si>
    <t>adas</t>
  </si>
  <si>
    <t>dssa</t>
  </si>
  <si>
    <t xml:space="preserve">Product Name </t>
  </si>
  <si>
    <t>Barcode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</si>
</sst>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₹&quot;* #,##0.00_);_(&quot;₹&quot;* \(#,##0.00\);_(&quot;₹&quot;* &quot;-&quot;??_);_(@_)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/>
    <xf numFmtId="0" fontId="0" fillId="0" borderId="1" xfId="0" applyBorder="1"/>
    <xf numFmtId="22" fontId="0" fillId="0" borderId="1" xfId="0" applyNumberFormat="1" applyBorder="1"/>
    <xf numFmtId="0" fontId="0" fillId="0" borderId="1" xfId="0" applyBorder="1" applyAlignment="1">
      <alignment horizontal="left" vertical="top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22" fontId="0" fillId="0" borderId="1" xfId="0" applyNumberFormat="1" applyBorder="1" applyAlignment="1">
      <alignment horizontal="right" vertical="center"/>
    </xf>
    <xf numFmtId="0" fontId="3" fillId="2" borderId="1" xfId="0" applyFont="1" applyFill="1" applyBorder="1" applyAlignment="1">
      <alignment horizontal="center" vertical="center"/>
    </xf>
    <xf numFmtId="22" fontId="3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0" fontId="0" fillId="5" borderId="1" xfId="0" applyFill="1" applyBorder="1"/>
    <xf numFmtId="14" fontId="0" fillId="0" borderId="1" xfId="0" applyNumberFormat="1" applyBorder="1"/>
    <xf numFmtId="22" fontId="0" fillId="0" borderId="0" xfId="0" applyNumberFormat="1"/>
    <xf numFmtId="164" fontId="0" fillId="0" borderId="1" xfId="0" applyNumberFormat="1" applyBorder="1"/>
    <xf numFmtId="0" fontId="3" fillId="5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DC6B-3BFE-465F-8AEE-DC56EDF3A789}">
  <sheetPr codeName="Sheet4"/>
  <dimension ref="A1:G2"/>
  <sheetViews>
    <sheetView workbookViewId="0">
      <selection activeCell="K6" sqref="K6"/>
    </sheetView>
  </sheetViews>
  <sheetFormatPr defaultRowHeight="14.4" x14ac:dyDescent="0.3"/>
  <cols>
    <col min="1" max="1" width="8.88671875" style="2"/>
    <col min="2" max="2" width="26" style="2" customWidth="1"/>
    <col min="3" max="4" width="18.6640625" style="2" customWidth="1"/>
    <col min="5" max="6" width="23.6640625" style="2" customWidth="1"/>
    <col min="7" max="7" width="17.44140625" style="2" customWidth="1"/>
    <col min="10" max="10" width="9.44140625" customWidth="1"/>
  </cols>
  <sheetData>
    <row r="1" spans="1:7" x14ac:dyDescent="0.3">
      <c r="A1" s="5" t="s">
        <v>0</v>
      </c>
      <c r="B1" s="5" t="s">
        <v>8</v>
      </c>
      <c r="C1" s="5" t="s">
        <v>6</v>
      </c>
      <c r="D1" s="5" t="s">
        <v>7</v>
      </c>
      <c r="E1" s="5" t="s">
        <v>4</v>
      </c>
      <c r="F1" s="5" t="s">
        <v>5</v>
      </c>
      <c r="G1" s="5" t="s">
        <v>9</v>
      </c>
    </row>
    <row r="2" spans="1:7" x14ac:dyDescent="0.3">
      <c r="A2" s="1"/>
      <c r="B2" s="1"/>
      <c r="C2" s="1"/>
      <c r="D2" s="1"/>
      <c r="E2" s="1"/>
      <c r="F2" s="1"/>
      <c r="G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E103-B814-4B3E-A507-31A8D4701E4F}">
  <sheetPr codeName="Sheet3"/>
  <dimension ref="A1:AC7"/>
  <sheetViews>
    <sheetView workbookViewId="0">
      <selection activeCell="E3" sqref="E3"/>
    </sheetView>
  </sheetViews>
  <sheetFormatPr defaultRowHeight="14.4" x14ac:dyDescent="0.3"/>
  <cols>
    <col min="1" max="1" width="8.88671875" style="2"/>
    <col min="2" max="2" width="16.6640625" style="2" customWidth="1"/>
    <col min="3" max="3" width="51.6640625" style="2" customWidth="1"/>
    <col min="4" max="4" width="15.33203125" style="2" customWidth="1"/>
    <col min="5" max="5" width="17.44140625" style="2" bestFit="1" customWidth="1"/>
    <col min="6" max="6" width="17.44140625" style="20" customWidth="1"/>
    <col min="7" max="7" width="17.44140625" style="18" customWidth="1"/>
    <col min="8" max="9" width="15.44140625" style="2" bestFit="1" customWidth="1"/>
    <col min="10" max="10" width="23" style="2" customWidth="1"/>
    <col min="11" max="11" width="10.77734375" style="2" bestFit="1" customWidth="1"/>
    <col min="12" max="12" width="13.88671875" style="2" bestFit="1" customWidth="1"/>
    <col min="27" max="27" width="13.21875" bestFit="1" customWidth="1"/>
    <col min="28" max="28" width="11.33203125" customWidth="1"/>
  </cols>
  <sheetData>
    <row r="1" spans="1:29" x14ac:dyDescent="0.3">
      <c r="A1" s="5" t="s">
        <v>0</v>
      </c>
      <c r="B1" s="5" t="s">
        <v>19</v>
      </c>
      <c r="C1" s="5" t="s">
        <v>1</v>
      </c>
      <c r="D1" s="5" t="s">
        <v>11</v>
      </c>
      <c r="E1" s="5" t="s">
        <v>16</v>
      </c>
      <c r="F1" s="5" t="s">
        <v>31</v>
      </c>
      <c r="G1" s="5" t="s">
        <v>34</v>
      </c>
      <c r="H1" s="16" t="s">
        <v>2</v>
      </c>
      <c r="I1" s="16" t="s">
        <v>3</v>
      </c>
      <c r="J1" s="5" t="s">
        <v>17</v>
      </c>
      <c r="K1" s="15" t="s">
        <v>10</v>
      </c>
      <c r="L1" s="15" t="s">
        <v>15</v>
      </c>
      <c r="AA1" t="s">
        <v>46</v>
      </c>
      <c r="AB1" t="s">
        <v>47</v>
      </c>
      <c r="AC1" t="s">
        <v>0</v>
      </c>
    </row>
    <row r="2" spans="1:29" x14ac:dyDescent="0.3">
      <c r="A2" s="2">
        <v>1</v>
      </c>
      <c r="B2" s="2">
        <v>110</v>
      </c>
      <c r="C2" s="2" t="s">
        <v>12</v>
      </c>
      <c r="D2" s="2" t="str">
        <f>IFERROR(INDEX(category!$A$2:$E$1048576,MATCH(K2,category!$A$2:$A$1048576,0),2),0)</f>
        <v>category</v>
      </c>
      <c r="E2" s="2" t="str">
        <f>IFERROR(INDEX(subcategory!$A$2:$E$1048576,MATCH(L2,subcategory!$A$2:$A$1048576,0),2),0)</f>
        <v>fgfdg</v>
      </c>
      <c r="F2" s="20">
        <v>50000</v>
      </c>
      <c r="G2" s="18">
        <v>44957</v>
      </c>
      <c r="H2" s="3">
        <v>44933.586342592593</v>
      </c>
      <c r="I2" s="3">
        <v>44933.586342592593</v>
      </c>
      <c r="J2" s="2">
        <v>1</v>
      </c>
      <c r="K2" s="2">
        <v>2</v>
      </c>
      <c r="L2" s="2">
        <v>3</v>
      </c>
      <c r="AA2" s="2" t="s">
        <v>45</v>
      </c>
      <c r="AB2" t="str">
        <f>IFERROR(INDEX($B$2:$B$1048576,MATCH(AA2,$C$2:$C$1048576,0),),"")</f>
        <v>adas</v>
      </c>
      <c r="AC2">
        <f>IFERROR(INDEX($A$2:$A$1048576,MATCH(AA2,$C$2:$C$1048576,0),),"")</f>
        <v>3</v>
      </c>
    </row>
    <row r="3" spans="1:29" x14ac:dyDescent="0.3">
      <c r="A3" s="2">
        <v>2</v>
      </c>
      <c r="B3" s="2">
        <v>12</v>
      </c>
      <c r="C3" s="2" t="s">
        <v>43</v>
      </c>
      <c r="D3" s="2" t="str">
        <f>IFERROR(INDEX(category!$A$2:$E$1048576,MATCH(K3,category!$A$2:$A$1048576,0),2),0)</f>
        <v>someone</v>
      </c>
      <c r="E3" s="2" t="str">
        <f>IFERROR(INDEX(subcategory!$A$2:$E$1048576,MATCH(L3,subcategory!$A$2:$A$1048576,0),2),0)</f>
        <v>rertret</v>
      </c>
      <c r="F3" s="20">
        <v>2121</v>
      </c>
      <c r="G3" s="18">
        <v>44946</v>
      </c>
      <c r="H3" s="3">
        <v>44933.636736111112</v>
      </c>
      <c r="I3" s="3">
        <v>44933.636736111112</v>
      </c>
      <c r="J3" s="2">
        <v>1</v>
      </c>
      <c r="K3" s="2">
        <v>3</v>
      </c>
      <c r="L3" s="2">
        <v>2</v>
      </c>
    </row>
    <row r="4" spans="1:29" x14ac:dyDescent="0.3">
      <c r="A4" s="2">
        <v>3</v>
      </c>
      <c r="B4" s="2" t="s">
        <v>44</v>
      </c>
      <c r="C4" s="2" t="s">
        <v>45</v>
      </c>
      <c r="D4" s="2" t="str">
        <f>IFERROR(INDEX(category!$A$2:$E$1048576,MATCH(K4,category!$A$2:$A$1048576,0),2),0)</f>
        <v>category</v>
      </c>
      <c r="E4" s="2" t="str">
        <f>IFERROR(INDEX(subcategory!$A$2:$E$1048576,MATCH(L4,subcategory!$A$2:$A$1048576,0),2),0)</f>
        <v>fgfdg</v>
      </c>
      <c r="F4" s="20">
        <v>121</v>
      </c>
      <c r="G4" s="18">
        <v>44951</v>
      </c>
      <c r="H4" s="3">
        <v>44933.637326388889</v>
      </c>
      <c r="I4" s="3">
        <v>44933.637326388889</v>
      </c>
      <c r="J4" s="2">
        <v>1</v>
      </c>
      <c r="K4" s="2">
        <v>2</v>
      </c>
      <c r="L4" s="2">
        <v>3</v>
      </c>
    </row>
    <row r="5" spans="1:29" x14ac:dyDescent="0.3">
      <c r="H5" s="3"/>
      <c r="I5" s="3"/>
    </row>
    <row r="6" spans="1:29" x14ac:dyDescent="0.3">
      <c r="H6" s="3"/>
      <c r="I6" s="3"/>
    </row>
    <row r="7" spans="1:29" x14ac:dyDescent="0.3">
      <c r="H7" s="3"/>
      <c r="I7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CC9AD-6F9C-4D21-9486-526301D004A0}">
  <sheetPr codeName="Sheet5"/>
  <dimension ref="A1:I4"/>
  <sheetViews>
    <sheetView workbookViewId="0">
      <selection activeCell="E13" sqref="E13"/>
    </sheetView>
  </sheetViews>
  <sheetFormatPr defaultRowHeight="14.4" x14ac:dyDescent="0.3"/>
  <cols>
    <col min="1" max="9" width="22.109375" style="2" customWidth="1"/>
  </cols>
  <sheetData>
    <row r="1" spans="1:9" x14ac:dyDescent="0.3">
      <c r="A1" s="21" t="s">
        <v>0</v>
      </c>
      <c r="B1" s="21" t="s">
        <v>20</v>
      </c>
      <c r="C1" s="21" t="s">
        <v>22</v>
      </c>
      <c r="D1" s="21" t="s">
        <v>21</v>
      </c>
      <c r="E1" s="21" t="s">
        <v>28</v>
      </c>
      <c r="F1" s="21" t="s">
        <v>23</v>
      </c>
      <c r="G1" s="21" t="s">
        <v>29</v>
      </c>
      <c r="H1" s="21" t="s">
        <v>24</v>
      </c>
      <c r="I1" s="21" t="s">
        <v>25</v>
      </c>
    </row>
    <row r="2" spans="1:9" x14ac:dyDescent="0.3">
      <c r="A2" s="2">
        <v>1</v>
      </c>
      <c r="B2" s="2">
        <v>1</v>
      </c>
      <c r="C2" s="2">
        <f>SUMIFS(stock_history!$D$2:$D$1048576,stock_history!$C$2:$C$1048576,"=IN",stock_history!$B$2:$B$1048576,stock!B2)</f>
        <v>100</v>
      </c>
      <c r="D2" s="2">
        <f>SUMIFS(stock_history!$D$2:$D$1048576,stock_history!$C$2:$C$1048576,"=OUT",stock_history!$B$2:$B$1048576,stock!B2)</f>
        <v>100</v>
      </c>
      <c r="E2" s="2">
        <f>INDEX(product!$A$2:$L$1048576,MATCH(stock!B2,product!$A$2:$A$1048576,0),6)</f>
        <v>50000</v>
      </c>
      <c r="F2" s="2">
        <f>C2-D2</f>
        <v>0</v>
      </c>
      <c r="G2" s="20">
        <f>E2*F2</f>
        <v>0</v>
      </c>
      <c r="H2" s="3">
        <v>44933.586342592593</v>
      </c>
      <c r="I2" s="3">
        <v>44933.586342592593</v>
      </c>
    </row>
    <row r="3" spans="1:9" x14ac:dyDescent="0.3">
      <c r="A3" s="2">
        <v>2</v>
      </c>
      <c r="B3" s="2">
        <v>2</v>
      </c>
      <c r="C3" s="2" t="b">
        <v>0</v>
      </c>
      <c r="D3" s="2" t="b">
        <v>0</v>
      </c>
      <c r="E3" s="2">
        <f>INDEX(product!$A$2:$L$1048576,MATCH(stock!B3,product!$A$2:$A$1048576,0),6)</f>
        <v>2121</v>
      </c>
      <c r="F3" s="2">
        <f>C3-D3</f>
        <v>0</v>
      </c>
      <c r="G3" s="2">
        <f>E3*F3</f>
        <v>0</v>
      </c>
      <c r="H3" s="3">
        <v>44933.636736111112</v>
      </c>
      <c r="I3" s="3">
        <v>44933.636736111112</v>
      </c>
    </row>
    <row r="4" spans="1:9" x14ac:dyDescent="0.3">
      <c r="A4" s="2">
        <v>3</v>
      </c>
      <c r="B4" s="2">
        <v>3</v>
      </c>
      <c r="C4" s="2">
        <f>SUMIFS(stock_history!$D$2:$D$1048576,stock_history!$C$2:$C$1048576,"=IN",stock_history!$B$2:$B$1048576,stock!B4)</f>
        <v>100</v>
      </c>
      <c r="D4" s="2">
        <f>SUMIFS(stock_history!$D$2:$D$1048576,stock_history!$C$2:$C$1048576,"=OUT",stock_history!$B$2:$B$1048576,stock!B4)</f>
        <v>0</v>
      </c>
      <c r="E4" s="2">
        <f>INDEX(product!$A$2:$L$1048576,MATCH(stock!B4,product!$A$2:$A$1048576,0),6)</f>
        <v>121</v>
      </c>
      <c r="F4" s="2">
        <f>C4-D4</f>
        <v>100</v>
      </c>
      <c r="G4" s="2">
        <f>E4*F4</f>
        <v>12100</v>
      </c>
      <c r="H4" s="3">
        <v>44933.637326388889</v>
      </c>
      <c r="I4" s="3">
        <v>44933.637326388889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5E5C-AEF3-4B4A-9936-446EF22DEE92}">
  <sheetPr codeName="Sheet6"/>
  <dimension ref="A1:F5"/>
  <sheetViews>
    <sheetView workbookViewId="0">
      <selection activeCell="B5" sqref="B5"/>
    </sheetView>
  </sheetViews>
  <sheetFormatPr defaultRowHeight="14.4" x14ac:dyDescent="0.3"/>
  <cols>
    <col min="1" max="6" width="21.44140625" style="2" customWidth="1"/>
  </cols>
  <sheetData>
    <row r="1" spans="1:6" x14ac:dyDescent="0.3">
      <c r="A1" s="17" t="s">
        <v>0</v>
      </c>
      <c r="B1" s="17" t="s">
        <v>20</v>
      </c>
      <c r="C1" s="17" t="s">
        <v>26</v>
      </c>
      <c r="D1" s="17" t="s">
        <v>27</v>
      </c>
      <c r="E1" s="17" t="s">
        <v>30</v>
      </c>
      <c r="F1" s="17" t="s">
        <v>25</v>
      </c>
    </row>
    <row r="2" spans="1:6" x14ac:dyDescent="0.3">
      <c r="A2" s="2">
        <v>1</v>
      </c>
      <c r="B2" s="2">
        <v>1</v>
      </c>
      <c r="C2" s="2" t="s">
        <v>41</v>
      </c>
      <c r="D2" s="2">
        <v>100</v>
      </c>
    </row>
    <row r="3" spans="1:6" x14ac:dyDescent="0.3">
      <c r="B3" s="2">
        <v>1</v>
      </c>
      <c r="C3" s="2" t="s">
        <v>42</v>
      </c>
      <c r="D3" s="2">
        <v>100</v>
      </c>
    </row>
    <row r="4" spans="1:6" x14ac:dyDescent="0.3">
      <c r="B4" s="2">
        <v>3</v>
      </c>
      <c r="C4" s="2" t="s">
        <v>41</v>
      </c>
      <c r="D4" s="2">
        <v>100</v>
      </c>
    </row>
    <row r="5" spans="1:6" x14ac:dyDescent="0.3">
      <c r="B5" s="2">
        <v>2</v>
      </c>
      <c r="C5" s="2" t="s">
        <v>41</v>
      </c>
      <c r="D5" s="2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63F6D-AE13-4C6E-A251-89FE90D89D7F}">
  <sheetPr codeName="Sheet1"/>
  <dimension ref="A1:I27"/>
  <sheetViews>
    <sheetView workbookViewId="0">
      <selection activeCell="H2" sqref="H2"/>
    </sheetView>
  </sheetViews>
  <sheetFormatPr defaultRowHeight="14.4" x14ac:dyDescent="0.3"/>
  <cols>
    <col min="1" max="1" width="19.5546875" style="2" customWidth="1"/>
    <col min="2" max="2" width="54.21875" style="2" customWidth="1"/>
    <col min="3" max="5" width="20.21875" style="6" customWidth="1"/>
    <col min="8" max="8" width="17.6640625" customWidth="1"/>
    <col min="9" max="9" width="11.77734375" customWidth="1"/>
  </cols>
  <sheetData>
    <row r="1" spans="1:9" x14ac:dyDescent="0.3">
      <c r="A1" s="8" t="s">
        <v>0</v>
      </c>
      <c r="B1" s="8" t="s">
        <v>1</v>
      </c>
      <c r="C1" s="9" t="s">
        <v>2</v>
      </c>
      <c r="D1" s="9" t="s">
        <v>3</v>
      </c>
      <c r="E1" s="8" t="s">
        <v>9</v>
      </c>
      <c r="H1" s="11" t="s">
        <v>11</v>
      </c>
      <c r="I1" s="12" t="s">
        <v>0</v>
      </c>
    </row>
    <row r="2" spans="1:9" x14ac:dyDescent="0.3">
      <c r="A2" s="6">
        <v>1</v>
      </c>
      <c r="B2" s="4" t="s">
        <v>12</v>
      </c>
      <c r="C2" s="7">
        <v>44927.935717592591</v>
      </c>
      <c r="D2" s="7">
        <v>44927.935717592591</v>
      </c>
      <c r="E2" s="6">
        <v>1</v>
      </c>
      <c r="H2" s="10" t="s">
        <v>12</v>
      </c>
      <c r="I2" s="2">
        <f>IFERROR(INDEX(A2:E1048576,MATCH(H2,B2:B1048576,0),1),0)</f>
        <v>1</v>
      </c>
    </row>
    <row r="3" spans="1:9" x14ac:dyDescent="0.3">
      <c r="A3" s="6">
        <v>2</v>
      </c>
      <c r="B3" s="2" t="s">
        <v>14</v>
      </c>
      <c r="C3" s="7">
        <v>44927.935810185183</v>
      </c>
      <c r="D3" s="7">
        <v>44927.935810185183</v>
      </c>
      <c r="E3" s="6">
        <v>1</v>
      </c>
    </row>
    <row r="4" spans="1:9" x14ac:dyDescent="0.3">
      <c r="A4" s="6">
        <v>3</v>
      </c>
      <c r="B4" s="2" t="s">
        <v>33</v>
      </c>
      <c r="C4" s="7">
        <v>44927.988159722219</v>
      </c>
      <c r="D4" s="7">
        <v>44927.988159722219</v>
      </c>
      <c r="E4" s="6">
        <v>1</v>
      </c>
    </row>
    <row r="5" spans="1:9" x14ac:dyDescent="0.3">
      <c r="A5" s="6">
        <v>4</v>
      </c>
      <c r="B5" s="2" t="s">
        <v>18</v>
      </c>
      <c r="C5" s="7">
        <v>44927.993020833332</v>
      </c>
      <c r="D5" s="7">
        <v>44927.993020833332</v>
      </c>
      <c r="E5" s="6">
        <v>1</v>
      </c>
    </row>
    <row r="6" spans="1:9" x14ac:dyDescent="0.3">
      <c r="A6" s="2">
        <v>5</v>
      </c>
      <c r="B6" s="2" t="s">
        <v>32</v>
      </c>
      <c r="C6" s="7">
        <v>44932.491018518522</v>
      </c>
      <c r="D6" s="7">
        <v>44932.491018518522</v>
      </c>
      <c r="E6" s="6">
        <v>1</v>
      </c>
    </row>
    <row r="7" spans="1:9" x14ac:dyDescent="0.3">
      <c r="A7" s="2">
        <v>6</v>
      </c>
      <c r="B7" s="2" t="s">
        <v>35</v>
      </c>
      <c r="C7" s="7">
        <v>44932.6175</v>
      </c>
      <c r="D7" s="7">
        <v>44932.6175</v>
      </c>
      <c r="E7" s="6">
        <v>1</v>
      </c>
    </row>
    <row r="8" spans="1:9" x14ac:dyDescent="0.3">
      <c r="A8" s="2">
        <v>7</v>
      </c>
      <c r="B8" s="2" t="s">
        <v>37</v>
      </c>
      <c r="C8" s="7">
        <v>44932.709907407407</v>
      </c>
      <c r="D8" s="7">
        <v>44932.709907407407</v>
      </c>
      <c r="E8" s="6">
        <v>1</v>
      </c>
    </row>
    <row r="9" spans="1:9" x14ac:dyDescent="0.3">
      <c r="A9" s="2">
        <v>8</v>
      </c>
      <c r="B9" s="2" t="s">
        <v>39</v>
      </c>
      <c r="C9" s="7">
        <v>44932.710023148145</v>
      </c>
      <c r="D9" s="7">
        <v>44932.710023148145</v>
      </c>
      <c r="E9" s="6">
        <v>1</v>
      </c>
    </row>
    <row r="10" spans="1:9" x14ac:dyDescent="0.3">
      <c r="C10" s="7"/>
      <c r="D10" s="7"/>
    </row>
    <row r="11" spans="1:9" x14ac:dyDescent="0.3">
      <c r="C11" s="7"/>
      <c r="D11" s="7"/>
    </row>
    <row r="12" spans="1:9" x14ac:dyDescent="0.3">
      <c r="C12" s="7"/>
      <c r="D12" s="7"/>
    </row>
    <row r="13" spans="1:9" x14ac:dyDescent="0.3">
      <c r="C13" s="7"/>
      <c r="D13" s="7"/>
    </row>
    <row r="14" spans="1:9" x14ac:dyDescent="0.3">
      <c r="C14" s="7"/>
      <c r="D14" s="7"/>
    </row>
    <row r="15" spans="1:9" x14ac:dyDescent="0.3">
      <c r="C15" s="7"/>
      <c r="D15" s="7"/>
    </row>
    <row r="16" spans="1:9" x14ac:dyDescent="0.3">
      <c r="C16" s="7"/>
      <c r="D16" s="7"/>
    </row>
    <row r="17" spans="3:4" x14ac:dyDescent="0.3">
      <c r="C17" s="7"/>
      <c r="D17" s="7"/>
    </row>
    <row r="18" spans="3:4" x14ac:dyDescent="0.3">
      <c r="C18" s="7"/>
      <c r="D18" s="7"/>
    </row>
    <row r="19" spans="3:4" x14ac:dyDescent="0.3">
      <c r="C19" s="7"/>
      <c r="D19" s="7"/>
    </row>
    <row r="20" spans="3:4" x14ac:dyDescent="0.3">
      <c r="C20" s="7"/>
      <c r="D20" s="7"/>
    </row>
    <row r="21" spans="3:4" x14ac:dyDescent="0.3">
      <c r="C21" s="7"/>
      <c r="D21" s="7"/>
    </row>
    <row r="22" spans="3:4" x14ac:dyDescent="0.3">
      <c r="C22" s="7"/>
      <c r="D22" s="7"/>
    </row>
    <row r="23" spans="3:4" x14ac:dyDescent="0.3">
      <c r="C23" s="7"/>
      <c r="D23" s="7"/>
    </row>
    <row r="24" spans="3:4" x14ac:dyDescent="0.3">
      <c r="C24" s="7"/>
      <c r="D24" s="7"/>
    </row>
    <row r="25" spans="3:4" x14ac:dyDescent="0.3">
      <c r="C25" s="7"/>
      <c r="D25" s="7"/>
    </row>
    <row r="26" spans="3:4" x14ac:dyDescent="0.3">
      <c r="C26" s="7"/>
      <c r="D26" s="7"/>
    </row>
    <row r="27" spans="3:4" x14ac:dyDescent="0.3">
      <c r="C27" s="7"/>
      <c r="D27" s="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268E2-F054-48F2-A711-A63B65117CDA}">
  <sheetPr codeName="Sheet2"/>
  <dimension ref="A1:J17"/>
  <sheetViews>
    <sheetView tabSelected="1" workbookViewId="0">
      <selection activeCell="J14" sqref="J14"/>
    </sheetView>
  </sheetViews>
  <sheetFormatPr defaultRowHeight="14.4" x14ac:dyDescent="0.3"/>
  <cols>
    <col min="1" max="1" width="11.21875" style="2" customWidth="1"/>
    <col min="2" max="2" width="36.21875" style="2" customWidth="1"/>
    <col min="3" max="3" width="20.21875" style="2" customWidth="1"/>
    <col min="4" max="5" width="22.5546875" style="2" customWidth="1"/>
    <col min="6" max="6" width="23" style="2" customWidth="1"/>
    <col min="7" max="7" width="10.77734375" style="2" bestFit="1" customWidth="1"/>
    <col min="8" max="8" width="10.77734375" customWidth="1"/>
    <col min="9" max="9" width="17.44140625" bestFit="1" customWidth="1"/>
    <col min="10" max="10" width="13.6640625" bestFit="1" customWidth="1"/>
  </cols>
  <sheetData>
    <row r="1" spans="1:10" x14ac:dyDescent="0.3">
      <c r="A1" s="5" t="s">
        <v>0</v>
      </c>
      <c r="B1" s="5" t="s">
        <v>1</v>
      </c>
      <c r="C1" s="5" t="s">
        <v>11</v>
      </c>
      <c r="D1" s="5" t="s">
        <v>2</v>
      </c>
      <c r="E1" s="5" t="s">
        <v>3</v>
      </c>
      <c r="F1" s="5" t="s">
        <v>9</v>
      </c>
      <c r="G1" s="5" t="s">
        <v>10</v>
      </c>
      <c r="H1" s="14"/>
      <c r="I1" s="13" t="s">
        <v>13</v>
      </c>
      <c r="J1" s="13" t="s">
        <v>0</v>
      </c>
    </row>
    <row r="2" spans="1:10" x14ac:dyDescent="0.3">
      <c r="A2" s="2">
        <v>1</v>
      </c>
      <c r="B2" s="2" t="s">
        <v>36</v>
      </c>
      <c r="C2" s="2" t="str">
        <f>IFERROR(INDEX(category!A2:E1048576,MATCH(G2,category!A2:A1048576,0),2),0)</f>
        <v>category</v>
      </c>
      <c r="D2" s="3">
        <v>44932.667858796296</v>
      </c>
      <c r="E2" s="3">
        <v>44932.667858796296</v>
      </c>
      <c r="F2" s="2">
        <v>1</v>
      </c>
      <c r="G2" s="2">
        <v>2</v>
      </c>
      <c r="I2" s="2"/>
      <c r="J2" s="2">
        <f>IFERROR(INDEX(A2:E1048576,MATCH(I2,B2:B1048576,0),1),0)</f>
        <v>0</v>
      </c>
    </row>
    <row r="3" spans="1:10" x14ac:dyDescent="0.3">
      <c r="A3" s="2">
        <v>2</v>
      </c>
      <c r="B3" s="2" t="s">
        <v>38</v>
      </c>
      <c r="C3" s="2" t="str">
        <f>IFERROR(INDEX(category!A2:E1048576,MATCH(G3,category!A2:A1048576,0),2),0)</f>
        <v>someone</v>
      </c>
      <c r="D3" s="3">
        <v>44932.709988425922</v>
      </c>
      <c r="E3" s="3">
        <v>44932.709988425922</v>
      </c>
      <c r="F3" s="2">
        <v>1</v>
      </c>
      <c r="G3" s="2">
        <v>3</v>
      </c>
    </row>
    <row r="4" spans="1:10" x14ac:dyDescent="0.3">
      <c r="A4" s="2">
        <v>3</v>
      </c>
      <c r="B4" s="2" t="s">
        <v>40</v>
      </c>
      <c r="C4" s="2" t="str">
        <f>IFERROR(INDEX(category!A2:E1048576,MATCH(G4,category!A2:A1048576,0),2),0)</f>
        <v>category</v>
      </c>
      <c r="D4" s="3">
        <v>44932.710081018522</v>
      </c>
      <c r="E4" s="3">
        <v>44932.710081018522</v>
      </c>
      <c r="F4" s="2">
        <v>1</v>
      </c>
      <c r="G4" s="2">
        <v>2</v>
      </c>
      <c r="H4" s="19"/>
      <c r="I4" s="19"/>
    </row>
    <row r="5" spans="1:10" x14ac:dyDescent="0.3">
      <c r="D5" s="3"/>
      <c r="E5" s="3"/>
      <c r="H5" s="19"/>
      <c r="I5" s="19"/>
    </row>
    <row r="6" spans="1:10" x14ac:dyDescent="0.3">
      <c r="D6" s="3"/>
      <c r="E6" s="3"/>
    </row>
    <row r="7" spans="1:10" x14ac:dyDescent="0.3">
      <c r="D7" s="3"/>
      <c r="E7" s="3"/>
    </row>
    <row r="8" spans="1:10" x14ac:dyDescent="0.3">
      <c r="D8" s="3"/>
      <c r="E8" s="3"/>
    </row>
    <row r="9" spans="1:10" x14ac:dyDescent="0.3">
      <c r="D9" s="3"/>
      <c r="E9" s="3"/>
    </row>
    <row r="10" spans="1:10" x14ac:dyDescent="0.3">
      <c r="D10" s="3"/>
      <c r="E10" s="3"/>
    </row>
    <row r="11" spans="1:10" x14ac:dyDescent="0.3">
      <c r="D11" s="3"/>
      <c r="E11" s="3"/>
    </row>
    <row r="12" spans="1:10" x14ac:dyDescent="0.3">
      <c r="D12" s="3"/>
      <c r="E12" s="3"/>
    </row>
    <row r="13" spans="1:10" x14ac:dyDescent="0.3">
      <c r="D13" s="3"/>
      <c r="E13" s="3"/>
    </row>
    <row r="14" spans="1:10" x14ac:dyDescent="0.3">
      <c r="D14" s="3"/>
      <c r="E14" s="3"/>
    </row>
    <row r="15" spans="1:10" x14ac:dyDescent="0.3">
      <c r="D15" s="3"/>
      <c r="E15" s="3"/>
    </row>
    <row r="16" spans="1:10" x14ac:dyDescent="0.3">
      <c r="D16" s="3"/>
      <c r="E16" s="3"/>
    </row>
    <row r="17" spans="4:5" x14ac:dyDescent="0.3">
      <c r="D17" s="3"/>
      <c r="E1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</vt:lpstr>
      <vt:lpstr>product</vt:lpstr>
      <vt:lpstr>stock</vt:lpstr>
      <vt:lpstr>stock_history</vt:lpstr>
      <vt:lpstr>category</vt:lpstr>
      <vt:lpstr>subcategory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Debanjan Baidya</dc:creator>
  <cp:lastModifiedBy>Debanjan Baidya</cp:lastModifiedBy>
  <dcterms:created xsi:type="dcterms:W3CDTF">2022-12-27T05:18:06Z</dcterms:created>
  <dcterms:modified xsi:type="dcterms:W3CDTF">2023-02-27T10:36:41Z</dcterms:modified>
</cp:coreProperties>
</file>